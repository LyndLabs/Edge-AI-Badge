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ge-AI-Badge-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<sst xmlns="http://schemas.openxmlformats.org/spreadsheetml/2006/main" count="183" uniqueCount="153">
  <si>
    <t xml:space="preserve">Reference</t>
  </si>
  <si>
    <t xml:space="preserve">Qty</t>
  </si>
  <si>
    <t xml:space="preserve">Value</t>
  </si>
  <si>
    <t xml:space="preserve">DNP</t>
  </si>
  <si>
    <t xml:space="preserve">Footprint</t>
  </si>
  <si>
    <t xml:space="preserve">LCSC</t>
  </si>
  <si>
    <t xml:space="preserve">Datasheet</t>
  </si>
  <si>
    <t xml:space="preserve">Cost Per</t>
  </si>
  <si>
    <t xml:space="preserve">Total Cost</t>
  </si>
  <si>
    <t xml:space="preserve">C1,C40,C41</t>
  </si>
  <si>
    <t xml:space="preserve">22uF</t>
  </si>
  <si>
    <t xml:space="preserve">:C_0402_1005Metric</t>
  </si>
  <si>
    <t xml:space="preserve">C3845593</t>
  </si>
  <si>
    <t xml:space="preserve">C1-1,C1-2,C1-3,C1-4,C1-5,C1-6,C1-7,C1-8,C2-1,C2-2,C2-3,C2-4,C2-5,C2-6,C2-7,C2-8,C3-1,C3-2,C3-3,C3-4,C3-5,C3-6,C3-7,C3-8</t>
  </si>
  <si>
    <t xml:space="preserve">0603 RED</t>
  </si>
  <si>
    <t xml:space="preserve">Adafruit IS31FL3731 CharliePlex Grid:CHIPLED_0603_NOOUTLINE</t>
  </si>
  <si>
    <t xml:space="preserve">C19171390</t>
  </si>
  <si>
    <t xml:space="preserve">C2,C7,C8,C11,C14,C18</t>
  </si>
  <si>
    <t xml:space="preserve">100nF</t>
  </si>
  <si>
    <t xml:space="preserve">C1525</t>
  </si>
  <si>
    <t xml:space="preserve">C3,C4,C6,C16,C21</t>
  </si>
  <si>
    <t xml:space="preserve">0.1uF</t>
  </si>
  <si>
    <t xml:space="preserve">C5,C15,C17,C19,C25,C33</t>
  </si>
  <si>
    <t xml:space="preserve">1uF</t>
  </si>
  <si>
    <t xml:space="preserve">C14445</t>
  </si>
  <si>
    <t xml:space="preserve">C9,C10</t>
  </si>
  <si>
    <t xml:space="preserve">4.7uF</t>
  </si>
  <si>
    <t xml:space="preserve">C315248</t>
  </si>
  <si>
    <t xml:space="preserve">C27</t>
  </si>
  <si>
    <t xml:space="preserve">10uF</t>
  </si>
  <si>
    <t xml:space="preserve">C38</t>
  </si>
  <si>
    <t xml:space="preserve">22pF</t>
  </si>
  <si>
    <t xml:space="preserve">C76960</t>
  </si>
  <si>
    <t xml:space="preserve">D1,D3,D4,D5,D7,D8,D9,D11,D12,D13</t>
  </si>
  <si>
    <t xml:space="preserve">D_Schottky</t>
  </si>
  <si>
    <t xml:space="preserve">Diode_SMD:D_SOD-523</t>
  </si>
  <si>
    <t xml:space="preserve">C917006</t>
  </si>
  <si>
    <t xml:space="preserve">D10</t>
  </si>
  <si>
    <t xml:space="preserve">PRTR5V0U2X</t>
  </si>
  <si>
    <t xml:space="preserve">Package_TO_SOT_SMD:SOT-143</t>
  </si>
  <si>
    <t xml:space="preserve">C5180302</t>
  </si>
  <si>
    <t xml:space="preserve">https://assets.nexperia.com/documents/data-sheet/PRTR5V0U2X.pdf</t>
  </si>
  <si>
    <t xml:space="preserve">J1</t>
  </si>
  <si>
    <t xml:space="preserve">USB C 2.0</t>
  </si>
  <si>
    <t xml:space="preserve">Connector_USB:USB_C_Receptacle_Palconn_UTC16-G</t>
  </si>
  <si>
    <t xml:space="preserve">C2765186</t>
  </si>
  <si>
    <t xml:space="preserve">https://www.usb.org/sites/default/files/documents/usb_type-c.zip</t>
  </si>
  <si>
    <t xml:space="preserve">J2,J4</t>
  </si>
  <si>
    <t xml:space="preserve">JST SH SM04B</t>
  </si>
  <si>
    <t xml:space="preserve">Connector_PinSocket_2.54mm:PinSocket_1x04_P2.54mm_Vertical</t>
  </si>
  <si>
    <t xml:space="preserve">SM04B-SRSS-TB(LF)(SN)</t>
  </si>
  <si>
    <t xml:space="preserve">J3</t>
  </si>
  <si>
    <t xml:space="preserve">JST PH</t>
  </si>
  <si>
    <t xml:space="preserve">Connector_JST:JST_PH_S2B-PH-SM4-TB_1x02-1MP_P2.00mm_Horizontal</t>
  </si>
  <si>
    <t xml:space="preserve">C295747</t>
  </si>
  <si>
    <t xml:space="preserve">J6</t>
  </si>
  <si>
    <t xml:space="preserve">I2C</t>
  </si>
  <si>
    <t xml:space="preserve">L5</t>
  </si>
  <si>
    <t xml:space="preserve">2.2uh</t>
  </si>
  <si>
    <t xml:space="preserve">Inductor_SMD:L_Coilcraft_LPS3010</t>
  </si>
  <si>
    <t xml:space="preserve">C2926400</t>
  </si>
  <si>
    <t xml:space="preserve">https://www.lcsc.com/datasheet/lcsc_datasheet_2410121211_YJYCOIN-YHNR4020-2R2M_C2926400.pdf</t>
  </si>
  <si>
    <t xml:space="preserve">M1</t>
  </si>
  <si>
    <t xml:space="preserve">Z3OC1T8219731</t>
  </si>
  <si>
    <t xml:space="preserve">Q1,Q4</t>
  </si>
  <si>
    <t xml:space="preserve">DMN2058U</t>
  </si>
  <si>
    <t xml:space="preserve">Package_TO_SOT_SMD:SOT-23</t>
  </si>
  <si>
    <t xml:space="preserve">C461001</t>
  </si>
  <si>
    <t xml:space="preserve">http://www.diodes.com/assets/Datasheets/DMN2058U.pdf</t>
  </si>
  <si>
    <t xml:space="preserve">Q2</t>
  </si>
  <si>
    <t xml:space="preserve">MMBT3904</t>
  </si>
  <si>
    <t xml:space="preserve">C916374</t>
  </si>
  <si>
    <t xml:space="preserve">https://www.onsemi.com/pdf/datasheet/pzt3904-d.pdf</t>
  </si>
  <si>
    <t xml:space="preserve">R1,R2,R3,R4,R5</t>
  </si>
  <si>
    <t xml:space="preserve">0201_0603Metric</t>
  </si>
  <si>
    <t xml:space="preserve">C106231</t>
  </si>
  <si>
    <t xml:space="preserve">R6,R16,R17,R21,R26,R28,R32,R45,R46</t>
  </si>
  <si>
    <t xml:space="preserve">10K</t>
  </si>
  <si>
    <t xml:space="preserve">0402_1005Metric</t>
  </si>
  <si>
    <t xml:space="preserve">C60490</t>
  </si>
  <si>
    <t xml:space="preserve">R7,R8</t>
  </si>
  <si>
    <t xml:space="preserve">4.7K</t>
  </si>
  <si>
    <t xml:space="preserve">C105871</t>
  </si>
  <si>
    <t xml:space="preserve">R9,R10</t>
  </si>
  <si>
    <t xml:space="preserve">5.1K</t>
  </si>
  <si>
    <t xml:space="preserve">C25905</t>
  </si>
  <si>
    <t xml:space="preserve">R11,R15,R24</t>
  </si>
  <si>
    <t xml:space="preserve">150K</t>
  </si>
  <si>
    <t xml:space="preserve">C93947</t>
  </si>
  <si>
    <t xml:space="preserve">R12,R13,R31,R36,R41,R42,R43,R44</t>
  </si>
  <si>
    <t xml:space="preserve">1K</t>
  </si>
  <si>
    <t xml:space="preserve">C106235</t>
  </si>
  <si>
    <t xml:space="preserve">R14,R22</t>
  </si>
  <si>
    <t xml:space="preserve">680K</t>
  </si>
  <si>
    <t xml:space="preserve">C163456</t>
  </si>
  <si>
    <t xml:space="preserve">R19,R20</t>
  </si>
  <si>
    <t xml:space="preserve">1.8K</t>
  </si>
  <si>
    <t xml:space="preserve">C163481</t>
  </si>
  <si>
    <t xml:space="preserve">R23,R25</t>
  </si>
  <si>
    <t xml:space="preserve">100K</t>
  </si>
  <si>
    <t xml:space="preserve">C60491</t>
  </si>
  <si>
    <t xml:space="preserve">R27</t>
  </si>
  <si>
    <t xml:space="preserve">C105875</t>
  </si>
  <si>
    <t xml:space="preserve">R29</t>
  </si>
  <si>
    <t xml:space="preserve">75K</t>
  </si>
  <si>
    <t xml:space="preserve">R34,R35</t>
  </si>
  <si>
    <t xml:space="preserve">R33</t>
  </si>
  <si>
    <t xml:space="preserve">C138054</t>
  </si>
  <si>
    <t xml:space="preserve">R48,R50,R52</t>
  </si>
  <si>
    <t xml:space="preserve">R49,R51,R53,R54</t>
  </si>
  <si>
    <t xml:space="preserve">SW1</t>
  </si>
  <si>
    <t xml:space="preserve">Reset</t>
  </si>
  <si>
    <t xml:space="preserve">Button_Switch_SMD:SW_SPST_B3U-1000P-B</t>
  </si>
  <si>
    <t xml:space="preserve">C231329</t>
  </si>
  <si>
    <t xml:space="preserve">SW4,SW5,SW6,SW7,SW8,SW9,SW10,SW11</t>
  </si>
  <si>
    <t xml:space="preserve">SW_Push</t>
  </si>
  <si>
    <t xml:space="preserve">Button_Switch_SMD:SW_Push_1TS009xxxx-xxxx-xxxx_6x6x5mm</t>
  </si>
  <si>
    <t xml:space="preserve">C25168849</t>
  </si>
  <si>
    <t xml:space="preserve">U1</t>
  </si>
  <si>
    <t xml:space="preserve">MPR121QR2</t>
  </si>
  <si>
    <t xml:space="preserve">Package_DFN_QFN:UQFN-20_3x3mm_P0.4mm</t>
  </si>
  <si>
    <t xml:space="preserve">C91322</t>
  </si>
  <si>
    <t xml:space="preserve">https://resurgentsemi.com/wp-content/uploads/2018/09/MPR121_rev5-Resurgent.pdf?d453f8&amp;d453f8</t>
  </si>
  <si>
    <t xml:space="preserve">U2</t>
  </si>
  <si>
    <t xml:space="preserve">BQ24079RGT</t>
  </si>
  <si>
    <t xml:space="preserve">Package_DFN_QFN:VQFN-16-1EP_3x3mm_P0.5mm_EP1.6x1.6mm</t>
  </si>
  <si>
    <t xml:space="preserve">C2876751</t>
  </si>
  <si>
    <t xml:space="preserve">http://www.ti.com/lit/ds/symlink/bq24079.pdf</t>
  </si>
  <si>
    <t xml:space="preserve">U3</t>
  </si>
  <si>
    <t xml:space="preserve">ESP32-S3-WROOM-1</t>
  </si>
  <si>
    <t xml:space="preserve">RF_Module:ESP32-S3-WROOM-1</t>
  </si>
  <si>
    <t xml:space="preserve">C2913202</t>
  </si>
  <si>
    <t xml:space="preserve">https://www.espressif.com/sites/default/files/documentation/esp32-s3-wroom-1_wroom-1u_datasheet_en.pdf</t>
  </si>
  <si>
    <t xml:space="preserve">U4</t>
  </si>
  <si>
    <t xml:space="preserve">IS31FL3731-QF</t>
  </si>
  <si>
    <t xml:space="preserve">Package_DFN_QFN:QFN-28-1EP_4x4mm_P0.4mm_EP2.3x2.3mm</t>
  </si>
  <si>
    <t xml:space="preserve">C191206</t>
  </si>
  <si>
    <t xml:space="preserve">http://www.issi.com/WW/pdf/31FL3731.pdf</t>
  </si>
  <si>
    <t xml:space="preserve">U10</t>
  </si>
  <si>
    <t xml:space="preserve">SY8089</t>
  </si>
  <si>
    <t xml:space="preserve">Package_TO_SOT_SMD:SOT-23-5</t>
  </si>
  <si>
    <t xml:space="preserve">C79313</t>
  </si>
  <si>
    <t xml:space="preserve">https://lcsc.com/product-detail/DC-DC-Converters_Silergy_SY8088AAC_SY8088AAC_C79313.html</t>
  </si>
  <si>
    <t xml:space="preserve">Y1</t>
  </si>
  <si>
    <t xml:space="preserve">32.768KHz</t>
  </si>
  <si>
    <t xml:space="preserve">Crystal:Crystal_SMD_3215-2Pin_3.2x1.5mm</t>
  </si>
  <si>
    <t xml:space="preserve">C97606</t>
  </si>
  <si>
    <t xml:space="preserve">Battery</t>
  </si>
  <si>
    <t xml:space="preserve">M2 SMT Mount</t>
  </si>
  <si>
    <t xml:space="preserve">C5301799</t>
  </si>
  <si>
    <t xml:space="preserve">M2x4 screws</t>
  </si>
  <si>
    <t xml:space="preserve">GC9A01</t>
  </si>
  <si>
    <t xml:space="preserve">GC9A01 – 1.28 TFT Screen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</si>
</sst>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E43" activeCellId="0" sqref="E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4.49"/>
    <col collapsed="false" customWidth="true" hidden="false" outlineLevel="0" max="3" min="3" style="0" width="19.38"/>
    <col collapsed="false" customWidth="true" hidden="false" outlineLevel="0" max="4" min="4" style="0" width="5.32"/>
    <col collapsed="false" customWidth="true" hidden="false" outlineLevel="0" max="5" min="5" style="0" width="63.2"/>
    <col collapsed="false" customWidth="true" hidden="false" outlineLevel="0" max="6" min="6" style="0" width="22.86"/>
    <col collapsed="false" customWidth="true" hidden="false" outlineLevel="0" max="7" min="7" style="0" width="88.66"/>
    <col collapsed="false" customWidth="true" hidden="false" outlineLevel="0" max="8" min="8" style="0" width="8.67"/>
    <col collapsed="false" customWidth="true" hidden="false" outlineLevel="0" max="9" min="9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3</v>
      </c>
      <c r="C2" s="0" t="s">
        <v>10</v>
      </c>
      <c r="E2" s="0" t="s">
        <v>11</v>
      </c>
      <c r="F2" s="0" t="s">
        <v>12</v>
      </c>
      <c r="H2" s="0" t="n">
        <v>0.02</v>
      </c>
      <c r="I2" s="0" t="n">
        <f aca="false">H2*B2</f>
        <v>0.06</v>
      </c>
    </row>
    <row r="3" customFormat="false" ht="12.8" hidden="false" customHeight="false" outlineLevel="0" collapsed="false">
      <c r="A3" s="0" t="s">
        <v>13</v>
      </c>
      <c r="B3" s="0" t="n">
        <v>24</v>
      </c>
      <c r="C3" s="0" t="s">
        <v>14</v>
      </c>
      <c r="E3" s="0" t="s">
        <v>15</v>
      </c>
      <c r="F3" s="0" t="s">
        <v>16</v>
      </c>
      <c r="H3" s="0" t="n">
        <v>0.05</v>
      </c>
      <c r="I3" s="0" t="n">
        <f aca="false">H3*B3</f>
        <v>1.2</v>
      </c>
    </row>
    <row r="4" customFormat="false" ht="12.8" hidden="false" customHeight="false" outlineLevel="0" collapsed="false">
      <c r="A4" s="0" t="s">
        <v>17</v>
      </c>
      <c r="B4" s="0" t="n">
        <v>6</v>
      </c>
      <c r="C4" s="0" t="s">
        <v>18</v>
      </c>
      <c r="E4" s="0" t="s">
        <v>11</v>
      </c>
      <c r="F4" s="0" t="s">
        <v>19</v>
      </c>
      <c r="H4" s="0" t="n">
        <v>0.02</v>
      </c>
      <c r="I4" s="0" t="n">
        <f aca="false">H4*B4</f>
        <v>0.12</v>
      </c>
    </row>
    <row r="5" customFormat="false" ht="12.8" hidden="false" customHeight="false" outlineLevel="0" collapsed="false">
      <c r="A5" s="0" t="s">
        <v>20</v>
      </c>
      <c r="B5" s="0" t="n">
        <v>5</v>
      </c>
      <c r="C5" s="0" t="s">
        <v>21</v>
      </c>
      <c r="E5" s="0" t="s">
        <v>11</v>
      </c>
      <c r="F5" s="0" t="s">
        <v>19</v>
      </c>
      <c r="H5" s="0" t="n">
        <v>0.02</v>
      </c>
      <c r="I5" s="0" t="n">
        <f aca="false">H5*B5</f>
        <v>0.1</v>
      </c>
    </row>
    <row r="6" customFormat="false" ht="12.8" hidden="false" customHeight="false" outlineLevel="0" collapsed="false">
      <c r="A6" s="0" t="s">
        <v>22</v>
      </c>
      <c r="B6" s="0" t="n">
        <v>6</v>
      </c>
      <c r="C6" s="0" t="s">
        <v>23</v>
      </c>
      <c r="E6" s="0" t="s">
        <v>11</v>
      </c>
      <c r="F6" s="0" t="s">
        <v>24</v>
      </c>
      <c r="H6" s="0" t="n">
        <v>0.02</v>
      </c>
      <c r="I6" s="0" t="n">
        <f aca="false">H6*B6</f>
        <v>0.12</v>
      </c>
    </row>
    <row r="7" customFormat="false" ht="12.8" hidden="false" customHeight="false" outlineLevel="0" collapsed="false">
      <c r="A7" s="0" t="s">
        <v>25</v>
      </c>
      <c r="B7" s="0" t="n">
        <v>2</v>
      </c>
      <c r="C7" s="0" t="s">
        <v>26</v>
      </c>
      <c r="E7" s="0" t="s">
        <v>11</v>
      </c>
      <c r="F7" s="0" t="s">
        <v>27</v>
      </c>
      <c r="H7" s="0" t="n">
        <v>0.02</v>
      </c>
      <c r="I7" s="0" t="n">
        <f aca="false">H7*B7</f>
        <v>0.04</v>
      </c>
    </row>
    <row r="8" customFormat="false" ht="12.8" hidden="false" customHeight="false" outlineLevel="0" collapsed="false">
      <c r="A8" s="0" t="s">
        <v>28</v>
      </c>
      <c r="B8" s="0" t="n">
        <v>1</v>
      </c>
      <c r="C8" s="0" t="s">
        <v>29</v>
      </c>
      <c r="E8" s="0" t="s">
        <v>11</v>
      </c>
      <c r="F8" s="0" t="s">
        <v>27</v>
      </c>
      <c r="H8" s="0" t="n">
        <v>0.02</v>
      </c>
      <c r="I8" s="0" t="n">
        <f aca="false">H8*B8</f>
        <v>0.02</v>
      </c>
    </row>
    <row r="9" customFormat="false" ht="12.8" hidden="false" customHeight="false" outlineLevel="0" collapsed="false">
      <c r="A9" s="0" t="s">
        <v>30</v>
      </c>
      <c r="B9" s="0" t="n">
        <v>1</v>
      </c>
      <c r="C9" s="0" t="s">
        <v>31</v>
      </c>
      <c r="E9" s="0" t="s">
        <v>11</v>
      </c>
      <c r="F9" s="0" t="s">
        <v>32</v>
      </c>
      <c r="H9" s="0" t="n">
        <v>0.02</v>
      </c>
      <c r="I9" s="0" t="n">
        <f aca="false">H9*B9</f>
        <v>0.02</v>
      </c>
    </row>
    <row r="10" customFormat="false" ht="12.8" hidden="false" customHeight="false" outlineLevel="0" collapsed="false">
      <c r="A10" s="0" t="s">
        <v>33</v>
      </c>
      <c r="B10" s="0" t="n">
        <v>10</v>
      </c>
      <c r="C10" s="0" t="s">
        <v>34</v>
      </c>
      <c r="E10" s="0" t="s">
        <v>35</v>
      </c>
      <c r="F10" s="0" t="s">
        <v>36</v>
      </c>
      <c r="H10" s="0" t="n">
        <v>0.05</v>
      </c>
      <c r="I10" s="0" t="n">
        <f aca="false">H10*B10</f>
        <v>0.5</v>
      </c>
    </row>
    <row r="11" customFormat="false" ht="12.8" hidden="false" customHeight="false" outlineLevel="0" collapsed="false">
      <c r="A11" s="0" t="s">
        <v>37</v>
      </c>
      <c r="B11" s="0" t="n">
        <v>1</v>
      </c>
      <c r="C11" s="0" t="s">
        <v>38</v>
      </c>
      <c r="E11" s="0" t="s">
        <v>39</v>
      </c>
      <c r="F11" s="0" t="s">
        <v>40</v>
      </c>
      <c r="G11" s="0" t="s">
        <v>41</v>
      </c>
      <c r="H11" s="0" t="n">
        <v>0.03</v>
      </c>
      <c r="I11" s="0" t="n">
        <f aca="false">H11*B11</f>
        <v>0.03</v>
      </c>
    </row>
    <row r="12" customFormat="false" ht="12.8" hidden="false" customHeight="false" outlineLevel="0" collapsed="false">
      <c r="A12" s="0" t="s">
        <v>42</v>
      </c>
      <c r="B12" s="0" t="n">
        <v>1</v>
      </c>
      <c r="C12" s="0" t="s">
        <v>43</v>
      </c>
      <c r="E12" s="0" t="s">
        <v>44</v>
      </c>
      <c r="F12" s="0" t="s">
        <v>45</v>
      </c>
      <c r="G12" s="0" t="s">
        <v>46</v>
      </c>
      <c r="H12" s="0" t="n">
        <v>0.1</v>
      </c>
      <c r="I12" s="0" t="n">
        <f aca="false">H12*B12</f>
        <v>0.1</v>
      </c>
    </row>
    <row r="13" customFormat="false" ht="12.8" hidden="false" customHeight="false" outlineLevel="0" collapsed="false">
      <c r="A13" s="0" t="s">
        <v>47</v>
      </c>
      <c r="B13" s="0" t="n">
        <v>2</v>
      </c>
      <c r="C13" s="0" t="s">
        <v>48</v>
      </c>
      <c r="E13" s="0" t="s">
        <v>49</v>
      </c>
      <c r="F13" s="0" t="s">
        <v>50</v>
      </c>
      <c r="H13" s="0" t="n">
        <v>0.06</v>
      </c>
      <c r="I13" s="0" t="n">
        <f aca="false">H13*B13</f>
        <v>0.12</v>
      </c>
    </row>
    <row r="14" customFormat="false" ht="12.8" hidden="false" customHeight="false" outlineLevel="0" collapsed="false">
      <c r="A14" s="0" t="s">
        <v>51</v>
      </c>
      <c r="B14" s="0" t="n">
        <v>1</v>
      </c>
      <c r="C14" s="0" t="s">
        <v>52</v>
      </c>
      <c r="E14" s="0" t="s">
        <v>53</v>
      </c>
      <c r="F14" s="0" t="s">
        <v>54</v>
      </c>
      <c r="H14" s="0" t="n">
        <v>0.05</v>
      </c>
      <c r="I14" s="0" t="n">
        <f aca="false">H14*B14</f>
        <v>0.05</v>
      </c>
    </row>
    <row r="15" customFormat="false" ht="12.8" hidden="false" customHeight="false" outlineLevel="0" collapsed="false">
      <c r="A15" s="0" t="s">
        <v>55</v>
      </c>
      <c r="B15" s="0" t="n">
        <v>1</v>
      </c>
      <c r="C15" s="0" t="s">
        <v>56</v>
      </c>
      <c r="F15" s="0" t="s">
        <v>50</v>
      </c>
      <c r="H15" s="0" t="n">
        <v>0.06</v>
      </c>
      <c r="I15" s="0" t="n">
        <f aca="false">H15*B15</f>
        <v>0.06</v>
      </c>
    </row>
    <row r="16" customFormat="false" ht="12.8" hidden="false" customHeight="false" outlineLevel="0" collapsed="false">
      <c r="A16" s="0" t="s">
        <v>57</v>
      </c>
      <c r="B16" s="0" t="n">
        <v>1</v>
      </c>
      <c r="C16" s="0" t="s">
        <v>58</v>
      </c>
      <c r="E16" s="0" t="s">
        <v>59</v>
      </c>
      <c r="F16" s="0" t="s">
        <v>60</v>
      </c>
      <c r="G16" s="0" t="s">
        <v>61</v>
      </c>
      <c r="H16" s="0" t="n">
        <v>0.1</v>
      </c>
      <c r="I16" s="0" t="n">
        <f aca="false">H16*B16</f>
        <v>0.1</v>
      </c>
    </row>
    <row r="17" customFormat="false" ht="12.8" hidden="false" customHeight="false" outlineLevel="0" collapsed="false">
      <c r="A17" s="0" t="s">
        <v>62</v>
      </c>
      <c r="B17" s="0" t="n">
        <v>1</v>
      </c>
      <c r="C17" s="0" t="s">
        <v>63</v>
      </c>
      <c r="F17" s="0" t="s">
        <v>63</v>
      </c>
      <c r="H17" s="0" t="n">
        <v>0.8</v>
      </c>
      <c r="I17" s="0" t="n">
        <f aca="false">H17*B17</f>
        <v>0.8</v>
      </c>
    </row>
    <row r="18" customFormat="false" ht="12.8" hidden="false" customHeight="false" outlineLevel="0" collapsed="false">
      <c r="A18" s="0" t="s">
        <v>64</v>
      </c>
      <c r="B18" s="0" t="n">
        <v>2</v>
      </c>
      <c r="C18" s="0" t="s">
        <v>65</v>
      </c>
      <c r="E18" s="0" t="s">
        <v>66</v>
      </c>
      <c r="F18" s="0" t="s">
        <v>67</v>
      </c>
      <c r="G18" s="0" t="s">
        <v>68</v>
      </c>
      <c r="H18" s="0" t="n">
        <v>0.05</v>
      </c>
      <c r="I18" s="0" t="n">
        <f aca="false">H18*B18</f>
        <v>0.1</v>
      </c>
    </row>
    <row r="19" customFormat="false" ht="12.8" hidden="false" customHeight="false" outlineLevel="0" collapsed="false">
      <c r="A19" s="0" t="s">
        <v>69</v>
      </c>
      <c r="B19" s="0" t="n">
        <v>1</v>
      </c>
      <c r="C19" s="0" t="s">
        <v>70</v>
      </c>
      <c r="E19" s="0" t="s">
        <v>66</v>
      </c>
      <c r="F19" s="0" t="s">
        <v>71</v>
      </c>
      <c r="G19" s="0" t="s">
        <v>72</v>
      </c>
      <c r="H19" s="0" t="n">
        <v>0.01</v>
      </c>
      <c r="I19" s="0" t="n">
        <f aca="false">H19*B19</f>
        <v>0.01</v>
      </c>
    </row>
    <row r="20" customFormat="false" ht="12.8" hidden="false" customHeight="false" outlineLevel="0" collapsed="false">
      <c r="A20" s="0" t="s">
        <v>73</v>
      </c>
      <c r="B20" s="0" t="n">
        <v>5</v>
      </c>
      <c r="C20" s="0" t="n">
        <v>0</v>
      </c>
      <c r="E20" s="0" t="s">
        <v>74</v>
      </c>
      <c r="F20" s="0" t="s">
        <v>75</v>
      </c>
      <c r="H20" s="0" t="n">
        <v>0.01</v>
      </c>
      <c r="I20" s="0" t="n">
        <f aca="false">H20*B20</f>
        <v>0.05</v>
      </c>
    </row>
    <row r="21" customFormat="false" ht="12.8" hidden="false" customHeight="false" outlineLevel="0" collapsed="false">
      <c r="A21" s="0" t="s">
        <v>76</v>
      </c>
      <c r="B21" s="0" t="n">
        <v>9</v>
      </c>
      <c r="C21" s="0" t="s">
        <v>77</v>
      </c>
      <c r="E21" s="0" t="s">
        <v>78</v>
      </c>
      <c r="F21" s="0" t="s">
        <v>79</v>
      </c>
      <c r="H21" s="0" t="n">
        <v>0.01</v>
      </c>
      <c r="I21" s="0" t="n">
        <f aca="false">H21*B21</f>
        <v>0.09</v>
      </c>
    </row>
    <row r="22" customFormat="false" ht="12.8" hidden="false" customHeight="false" outlineLevel="0" collapsed="false">
      <c r="A22" s="0" t="s">
        <v>80</v>
      </c>
      <c r="B22" s="0" t="n">
        <v>2</v>
      </c>
      <c r="C22" s="0" t="s">
        <v>81</v>
      </c>
      <c r="E22" s="0" t="s">
        <v>78</v>
      </c>
      <c r="F22" s="0" t="s">
        <v>82</v>
      </c>
      <c r="H22" s="0" t="n">
        <v>0.01</v>
      </c>
      <c r="I22" s="0" t="n">
        <f aca="false">H22*B22</f>
        <v>0.02</v>
      </c>
    </row>
    <row r="23" customFormat="false" ht="12.8" hidden="false" customHeight="false" outlineLevel="0" collapsed="false">
      <c r="A23" s="0" t="s">
        <v>83</v>
      </c>
      <c r="B23" s="0" t="n">
        <v>2</v>
      </c>
      <c r="C23" s="0" t="s">
        <v>84</v>
      </c>
      <c r="E23" s="0" t="s">
        <v>78</v>
      </c>
      <c r="F23" s="0" t="s">
        <v>85</v>
      </c>
      <c r="H23" s="0" t="n">
        <v>0.01</v>
      </c>
      <c r="I23" s="0" t="n">
        <f aca="false">H23*B23</f>
        <v>0.02</v>
      </c>
    </row>
    <row r="24" customFormat="false" ht="12.8" hidden="false" customHeight="false" outlineLevel="0" collapsed="false">
      <c r="A24" s="0" t="s">
        <v>86</v>
      </c>
      <c r="B24" s="0" t="n">
        <v>3</v>
      </c>
      <c r="C24" s="0" t="s">
        <v>87</v>
      </c>
      <c r="E24" s="0" t="s">
        <v>78</v>
      </c>
      <c r="F24" s="0" t="s">
        <v>88</v>
      </c>
      <c r="H24" s="0" t="n">
        <v>0.01</v>
      </c>
      <c r="I24" s="0" t="n">
        <f aca="false">H24*B24</f>
        <v>0.03</v>
      </c>
    </row>
    <row r="25" customFormat="false" ht="12.8" hidden="false" customHeight="false" outlineLevel="0" collapsed="false">
      <c r="A25" s="0" t="s">
        <v>89</v>
      </c>
      <c r="B25" s="0" t="n">
        <v>8</v>
      </c>
      <c r="C25" s="0" t="s">
        <v>90</v>
      </c>
      <c r="E25" s="0" t="s">
        <v>78</v>
      </c>
      <c r="F25" s="0" t="s">
        <v>91</v>
      </c>
      <c r="H25" s="0" t="n">
        <v>0.01</v>
      </c>
      <c r="I25" s="0" t="n">
        <f aca="false">H25*B25</f>
        <v>0.08</v>
      </c>
    </row>
    <row r="26" customFormat="false" ht="12.8" hidden="false" customHeight="false" outlineLevel="0" collapsed="false">
      <c r="A26" s="0" t="s">
        <v>92</v>
      </c>
      <c r="B26" s="0" t="n">
        <v>2</v>
      </c>
      <c r="C26" s="0" t="s">
        <v>93</v>
      </c>
      <c r="E26" s="0" t="s">
        <v>78</v>
      </c>
      <c r="F26" s="0" t="s">
        <v>94</v>
      </c>
      <c r="H26" s="0" t="n">
        <v>0.01</v>
      </c>
      <c r="I26" s="0" t="n">
        <f aca="false">H26*B26</f>
        <v>0.02</v>
      </c>
    </row>
    <row r="27" customFormat="false" ht="12.8" hidden="false" customHeight="false" outlineLevel="0" collapsed="false">
      <c r="A27" s="0" t="s">
        <v>95</v>
      </c>
      <c r="B27" s="0" t="n">
        <v>2</v>
      </c>
      <c r="C27" s="0" t="s">
        <v>96</v>
      </c>
      <c r="E27" s="0" t="s">
        <v>78</v>
      </c>
      <c r="F27" s="0" t="s">
        <v>97</v>
      </c>
      <c r="H27" s="0" t="n">
        <v>0.01</v>
      </c>
      <c r="I27" s="0" t="n">
        <f aca="false">H27*B27</f>
        <v>0.02</v>
      </c>
    </row>
    <row r="28" customFormat="false" ht="12.8" hidden="false" customHeight="false" outlineLevel="0" collapsed="false">
      <c r="A28" s="0" t="s">
        <v>98</v>
      </c>
      <c r="B28" s="0" t="n">
        <v>2</v>
      </c>
      <c r="C28" s="0" t="s">
        <v>99</v>
      </c>
      <c r="E28" s="0" t="s">
        <v>78</v>
      </c>
      <c r="F28" s="0" t="s">
        <v>100</v>
      </c>
      <c r="H28" s="0" t="n">
        <v>0.01</v>
      </c>
      <c r="I28" s="0" t="n">
        <f aca="false">H28*B28</f>
        <v>0.02</v>
      </c>
    </row>
    <row r="29" customFormat="false" ht="12.8" hidden="false" customHeight="false" outlineLevel="0" collapsed="false">
      <c r="A29" s="0" t="s">
        <v>101</v>
      </c>
      <c r="B29" s="0" t="n">
        <v>1</v>
      </c>
      <c r="C29" s="0" t="n">
        <v>330</v>
      </c>
      <c r="E29" s="0" t="s">
        <v>78</v>
      </c>
      <c r="F29" s="0" t="s">
        <v>102</v>
      </c>
      <c r="G29" s="1"/>
      <c r="H29" s="0" t="n">
        <v>0.01</v>
      </c>
      <c r="I29" s="0" t="n">
        <f aca="false">H29*B29</f>
        <v>0.01</v>
      </c>
    </row>
    <row r="30" customFormat="false" ht="12.8" hidden="false" customHeight="false" outlineLevel="0" collapsed="false">
      <c r="A30" s="0" t="s">
        <v>103</v>
      </c>
      <c r="B30" s="0" t="n">
        <v>1</v>
      </c>
      <c r="C30" s="0" t="s">
        <v>104</v>
      </c>
      <c r="E30" s="0" t="s">
        <v>78</v>
      </c>
      <c r="I30" s="0" t="n">
        <f aca="false">H30*B30</f>
        <v>0</v>
      </c>
    </row>
    <row r="31" customFormat="false" ht="12.8" hidden="false" customHeight="false" outlineLevel="0" collapsed="false">
      <c r="A31" s="0" t="s">
        <v>105</v>
      </c>
      <c r="B31" s="0" t="n">
        <v>3</v>
      </c>
      <c r="C31" s="0" t="s">
        <v>77</v>
      </c>
      <c r="D31" s="0" t="s">
        <v>3</v>
      </c>
      <c r="E31" s="0" t="s">
        <v>78</v>
      </c>
      <c r="F31" s="0" t="s">
        <v>79</v>
      </c>
      <c r="H31" s="0" t="n">
        <v>0.01</v>
      </c>
      <c r="I31" s="0" t="n">
        <f aca="false">H31*B31</f>
        <v>0.03</v>
      </c>
    </row>
    <row r="32" customFormat="false" ht="12.8" hidden="false" customHeight="false" outlineLevel="0" collapsed="false">
      <c r="A32" s="0" t="s">
        <v>106</v>
      </c>
      <c r="B32" s="0" t="n">
        <v>1</v>
      </c>
      <c r="C32" s="0" t="n">
        <v>150</v>
      </c>
      <c r="E32" s="0" t="s">
        <v>78</v>
      </c>
      <c r="F32" s="0" t="s">
        <v>107</v>
      </c>
      <c r="H32" s="0" t="n">
        <v>0.01</v>
      </c>
      <c r="I32" s="0" t="n">
        <f aca="false">H32*B32</f>
        <v>0.01</v>
      </c>
    </row>
    <row r="33" customFormat="false" ht="12.8" hidden="false" customHeight="false" outlineLevel="0" collapsed="false">
      <c r="A33" s="0" t="s">
        <v>108</v>
      </c>
      <c r="B33" s="0" t="n">
        <v>3</v>
      </c>
      <c r="C33" s="0" t="n">
        <v>0</v>
      </c>
      <c r="D33" s="0" t="s">
        <v>3</v>
      </c>
      <c r="E33" s="0" t="s">
        <v>78</v>
      </c>
      <c r="F33" s="0" t="s">
        <v>75</v>
      </c>
      <c r="H33" s="0" t="n">
        <v>0.01</v>
      </c>
      <c r="I33" s="0" t="n">
        <f aca="false">H33*B33</f>
        <v>0.03</v>
      </c>
    </row>
    <row r="34" customFormat="false" ht="12.8" hidden="false" customHeight="false" outlineLevel="0" collapsed="false">
      <c r="A34" s="0" t="s">
        <v>109</v>
      </c>
      <c r="B34" s="0" t="n">
        <v>4</v>
      </c>
      <c r="C34" s="0" t="n">
        <v>0</v>
      </c>
      <c r="E34" s="0" t="s">
        <v>78</v>
      </c>
      <c r="F34" s="0" t="s">
        <v>75</v>
      </c>
      <c r="H34" s="0" t="n">
        <v>0.01</v>
      </c>
      <c r="I34" s="0" t="n">
        <f aca="false">H34*B34</f>
        <v>0.04</v>
      </c>
    </row>
    <row r="35" customFormat="false" ht="12.8" hidden="false" customHeight="false" outlineLevel="0" collapsed="false">
      <c r="A35" s="0" t="s">
        <v>110</v>
      </c>
      <c r="B35" s="0" t="n">
        <v>1</v>
      </c>
      <c r="C35" s="0" t="s">
        <v>111</v>
      </c>
      <c r="E35" s="0" t="s">
        <v>112</v>
      </c>
      <c r="F35" s="0" t="s">
        <v>113</v>
      </c>
      <c r="H35" s="0" t="n">
        <v>0.16</v>
      </c>
      <c r="I35" s="0" t="n">
        <f aca="false">H35*B35</f>
        <v>0.16</v>
      </c>
    </row>
    <row r="36" customFormat="false" ht="12.8" hidden="false" customHeight="false" outlineLevel="0" collapsed="false">
      <c r="A36" s="0" t="s">
        <v>114</v>
      </c>
      <c r="B36" s="0" t="n">
        <v>8</v>
      </c>
      <c r="C36" s="0" t="s">
        <v>115</v>
      </c>
      <c r="E36" s="0" t="s">
        <v>116</v>
      </c>
      <c r="F36" s="0" t="s">
        <v>117</v>
      </c>
      <c r="H36" s="0" t="n">
        <v>0.07</v>
      </c>
      <c r="I36" s="0" t="n">
        <f aca="false">H36*B36</f>
        <v>0.56</v>
      </c>
    </row>
    <row r="37" s="2" customFormat="true" ht="12.8" hidden="false" customHeight="false" outlineLevel="0" collapsed="false">
      <c r="A37" s="2" t="s">
        <v>118</v>
      </c>
      <c r="B37" s="2" t="n">
        <v>1</v>
      </c>
      <c r="C37" s="2" t="s">
        <v>119</v>
      </c>
      <c r="E37" s="2" t="s">
        <v>120</v>
      </c>
      <c r="F37" s="2" t="s">
        <v>121</v>
      </c>
      <c r="G37" s="2" t="s">
        <v>122</v>
      </c>
      <c r="H37" s="2" t="n">
        <v>3.07</v>
      </c>
      <c r="I37" s="2" t="n">
        <f aca="false">H37*B37</f>
        <v>3.07</v>
      </c>
    </row>
    <row r="38" s="2" customFormat="true" ht="12.8" hidden="false" customHeight="false" outlineLevel="0" collapsed="false">
      <c r="A38" s="2" t="s">
        <v>123</v>
      </c>
      <c r="B38" s="2" t="n">
        <v>1</v>
      </c>
      <c r="C38" s="2" t="s">
        <v>124</v>
      </c>
      <c r="E38" s="2" t="s">
        <v>125</v>
      </c>
      <c r="F38" s="2" t="s">
        <v>126</v>
      </c>
      <c r="G38" s="2" t="s">
        <v>127</v>
      </c>
      <c r="H38" s="2" t="n">
        <v>2</v>
      </c>
      <c r="I38" s="2" t="n">
        <f aca="false">H38*B38</f>
        <v>2</v>
      </c>
    </row>
    <row r="39" s="2" customFormat="true" ht="12.8" hidden="false" customHeight="false" outlineLevel="0" collapsed="false">
      <c r="A39" s="2" t="s">
        <v>128</v>
      </c>
      <c r="B39" s="2" t="n">
        <v>1</v>
      </c>
      <c r="C39" s="2" t="s">
        <v>129</v>
      </c>
      <c r="E39" s="2" t="s">
        <v>130</v>
      </c>
      <c r="F39" s="2" t="s">
        <v>131</v>
      </c>
      <c r="G39" s="2" t="s">
        <v>132</v>
      </c>
      <c r="H39" s="2" t="n">
        <v>4.1</v>
      </c>
      <c r="I39" s="2" t="n">
        <f aca="false">H39*B39</f>
        <v>4.1</v>
      </c>
    </row>
    <row r="40" s="2" customFormat="true" ht="12.8" hidden="false" customHeight="false" outlineLevel="0" collapsed="false">
      <c r="A40" s="2" t="s">
        <v>133</v>
      </c>
      <c r="B40" s="2" t="n">
        <v>1</v>
      </c>
      <c r="C40" s="2" t="s">
        <v>134</v>
      </c>
      <c r="E40" s="2" t="s">
        <v>135</v>
      </c>
      <c r="F40" s="2" t="s">
        <v>136</v>
      </c>
      <c r="G40" s="2" t="s">
        <v>137</v>
      </c>
      <c r="H40" s="2" t="n">
        <v>1</v>
      </c>
      <c r="I40" s="2" t="n">
        <f aca="false">H40*B40</f>
        <v>1</v>
      </c>
    </row>
    <row r="41" customFormat="false" ht="12.8" hidden="false" customHeight="false" outlineLevel="0" collapsed="false">
      <c r="A41" s="0" t="s">
        <v>138</v>
      </c>
      <c r="B41" s="0" t="n">
        <v>1</v>
      </c>
      <c r="C41" s="0" t="s">
        <v>139</v>
      </c>
      <c r="E41" s="0" t="s">
        <v>140</v>
      </c>
      <c r="F41" s="0" t="s">
        <v>141</v>
      </c>
      <c r="G41" s="0" t="s">
        <v>142</v>
      </c>
      <c r="H41" s="0" t="n">
        <v>0.06</v>
      </c>
      <c r="I41" s="0" t="n">
        <f aca="false">H41*B41</f>
        <v>0.06</v>
      </c>
    </row>
    <row r="42" customFormat="false" ht="12.8" hidden="false" customHeight="false" outlineLevel="0" collapsed="false">
      <c r="A42" s="0" t="s">
        <v>143</v>
      </c>
      <c r="B42" s="0" t="n">
        <v>1</v>
      </c>
      <c r="C42" s="0" t="s">
        <v>144</v>
      </c>
      <c r="E42" s="0" t="s">
        <v>145</v>
      </c>
      <c r="F42" s="0" t="s">
        <v>146</v>
      </c>
      <c r="H42" s="0" t="n">
        <v>0.25</v>
      </c>
      <c r="I42" s="0" t="n">
        <f aca="false">H42*B42</f>
        <v>0.25</v>
      </c>
    </row>
    <row r="43" s="2" customFormat="true" ht="12.8" hidden="false" customHeight="false" outlineLevel="0" collapsed="false">
      <c r="B43" s="2" t="n">
        <v>1</v>
      </c>
      <c r="C43" s="2" t="s">
        <v>147</v>
      </c>
      <c r="H43" s="2" t="n">
        <v>1</v>
      </c>
      <c r="I43" s="2" t="n">
        <f aca="false">H43*B43</f>
        <v>1</v>
      </c>
    </row>
    <row r="44" s="2" customFormat="true" ht="12.8" hidden="false" customHeight="false" outlineLevel="0" collapsed="false">
      <c r="B44" s="2" t="n">
        <v>4</v>
      </c>
      <c r="C44" s="2" t="s">
        <v>148</v>
      </c>
      <c r="F44" s="2" t="s">
        <v>149</v>
      </c>
      <c r="H44" s="2" t="n">
        <v>0.05</v>
      </c>
      <c r="I44" s="2" t="n">
        <f aca="false">H44*B44</f>
        <v>0.2</v>
      </c>
    </row>
    <row r="45" s="2" customFormat="true" ht="12.8" hidden="false" customHeight="false" outlineLevel="0" collapsed="false">
      <c r="B45" s="2" t="n">
        <v>4</v>
      </c>
      <c r="C45" s="2" t="s">
        <v>150</v>
      </c>
      <c r="H45" s="2" t="n">
        <v>0.01</v>
      </c>
      <c r="I45" s="2" t="n">
        <f aca="false">H45*B45</f>
        <v>0.04</v>
      </c>
    </row>
    <row r="46" s="2" customFormat="true" ht="12.8" hidden="false" customHeight="false" outlineLevel="0" collapsed="false">
      <c r="B46" s="2" t="n">
        <v>1</v>
      </c>
      <c r="C46" s="2" t="s">
        <v>151</v>
      </c>
      <c r="E46" s="2" t="s">
        <v>152</v>
      </c>
      <c r="H46" s="2" t="n">
        <v>2</v>
      </c>
      <c r="I46" s="2" t="n">
        <f aca="false">H46*B46</f>
        <v>2</v>
      </c>
    </row>
    <row r="50" customFormat="false" ht="12.8" hidden="false" customHeight="false" outlineLevel="0" collapsed="false">
      <c r="I50" s="0" t="n">
        <f aca="false">SUM(I2:I46)</f>
        <v>18.46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2026-04-26T23:20:33Z</dcterms:modified>
  <cp:revision>2</cp:revision>
  <dc:subject/>
  <dc:title/>
</cp:coreProperties>
</file>